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7CE5B31-DFD3-4E9A-B533-C1B42DB4BAFA}" xr6:coauthVersionLast="47" xr6:coauthVersionMax="47" xr10:uidLastSave="{00000000-0000-0000-0000-000000000000}"/>
  <bookViews>
    <workbookView xWindow="-98" yWindow="-98" windowWidth="24196" windowHeight="14476" xr2:uid="{0CC2EF97-D8C5-4F7D-8FE8-10C6818AEAC5}"/>
  </bookViews>
  <sheets>
    <sheet name="Sheet2" sheetId="2" r:id="rId1"/>
    <sheet name="Sheet1" sheetId="1" r:id="rId2"/>
  </sheets>
  <calcPr calcId="191029"/>
  <pivotCaches>
    <pivotCache cacheId="48" r:id="rId3"/>
    <pivotCache cacheId="51" r:id="rId4"/>
    <pivotCache cacheId="111" r:id="rId5"/>
    <pivotCache cacheId="127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okies types_f83b3ef3-7e95-4c02-bac1-0a8cc6083067" name="Cookies types" connection="Excel Orders"/>
          <x15:modelTable id="Customer_009c7e58-257e-42bc-a4b1-76fc402ba760" name="Customer" connection="Excel Orders"/>
          <x15:modelTable id="Orders_06e9a051-4fcf-4be8-bacd-002837f41179" name="Orders" connection="Excel Orders"/>
        </x15:modelTables>
        <x15:modelRelationships>
          <x15:modelRelationship fromTable="Orders" fromColumn="Customer ID" toTable="Customer" toColumn="Customer ID"/>
          <x15:modelRelationship fromTable="Orders" fromColumn="Product" toTable="Cookies types" toColumn="Cookie Typ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C46BF5-F071-4DE6-B9A2-AF5C82941018}" name="Excel Orders" type="100" refreshedVersion="0">
    <extLst>
      <ext xmlns:x15="http://schemas.microsoft.com/office/spreadsheetml/2010/11/main" uri="{DE250136-89BD-433C-8126-D09CA5730AF9}">
        <x15:connection id="bded87ad-f88e-47f2-8dc5-6d43cac2c1d5"/>
      </ext>
    </extLst>
  </connection>
  <connection id="2" xr16:uid="{8667ABD6-DFA5-45B8-A6F6-D57113E0E72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<sst xmlns="http://schemas.openxmlformats.org/spreadsheetml/2006/main" count="65" uniqueCount="38">
  <si>
    <t>Row Labels</t>
  </si>
  <si>
    <t>ABC Groceries</t>
  </si>
  <si>
    <t>ACME Bites</t>
  </si>
  <si>
    <t>Park &amp; Shop Convenience Stores</t>
  </si>
  <si>
    <t>Tres Delicious</t>
  </si>
  <si>
    <t>Wholesome Foods</t>
  </si>
  <si>
    <t>Grand Total</t>
  </si>
  <si>
    <t>Count of Order ID</t>
  </si>
  <si>
    <t>Chocolate Chip</t>
  </si>
  <si>
    <t>Fortune Cookie</t>
  </si>
  <si>
    <t>Oatmeal Raisin</t>
  </si>
  <si>
    <t>Snickerdoodle</t>
  </si>
  <si>
    <t>Sugar</t>
  </si>
  <si>
    <t>White Chocolate Macadamia Nut</t>
  </si>
  <si>
    <t>Sum of Revenue</t>
  </si>
  <si>
    <t>Sum of Profit</t>
  </si>
  <si>
    <t>date and each cookies wise sales</t>
  </si>
  <si>
    <t>Column Labels</t>
  </si>
  <si>
    <t>2019</t>
  </si>
  <si>
    <t>Sep</t>
  </si>
  <si>
    <t>Oct</t>
  </si>
  <si>
    <t>Nov</t>
  </si>
  <si>
    <t>Dec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</si>
  <si>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</si>
  <si>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</si>
  <si>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</si>
  <si>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</si>
  <si>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</si>
  <si>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</si>
  <si>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</si>
  <si>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</si>
  <si>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</si>
  <si>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Performance of each cookies per city</t>
  </si>
  <si>
    <t>Green Bay</t>
  </si>
  <si>
    <t>Huntington</t>
  </si>
  <si>
    <t>Mobile</t>
  </si>
  <si>
    <t>Salt Lake City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</si>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</sst>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3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[cookies dashboard.xlsx]Sheet2!PivotTable1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Sheet2!$B$4:$B$9</c:f>
              <c:strCache>
                <c:ptCount val="5"/>
                <c:pt idx="0">
                  <c:v>ABC Groceries</c:v>
                </c:pt>
                <c:pt idx="1">
                  <c:v>ACME Bites</c:v>
                </c:pt>
                <c:pt idx="2">
                  <c:v>Park &amp; Shop Convenience Stores</c:v>
                </c:pt>
                <c:pt idx="3">
                  <c:v>Tres Delicious</c:v>
                </c:pt>
                <c:pt idx="4">
                  <c:v>Wholesome Foods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132</c:v>
                </c:pt>
                <c:pt idx="1">
                  <c:v>206</c:v>
                </c:pt>
                <c:pt idx="2">
                  <c:v>114</c:v>
                </c:pt>
                <c:pt idx="3">
                  <c:v>92</c:v>
                </c:pt>
                <c:pt idx="4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C-44B1-B65F-1F4281309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06260959"/>
        <c:axId val="1806261439"/>
      </c:barChart>
      <c:catAx>
        <c:axId val="180626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261439"/>
        <c:crosses val="autoZero"/>
        <c:auto val="1"/>
        <c:lblAlgn val="ctr"/>
        <c:lblOffset val="100"/>
        <c:noMultiLvlLbl val="0"/>
      </c:catAx>
      <c:valAx>
        <c:axId val="180626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26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154389</xdr:colOff>
      <xdr:row>0</xdr:row>
      <xdr:rowOff>44484</xdr:rowOff>
    </xdr:from>
    <xdr:to>
      <xdr:col>6</xdr:col>
      <xdr:colOff>520996</xdr:colOff>
      <xdr:row>12</xdr:row>
      <xdr:rowOff>61911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73BF3-E881-6D09-EBF6-D2F321C05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ka B G" refreshedDate="45814.481439814816" createdVersion="5" refreshedVersion="8" minRefreshableVersion="3" recordCount="0" supportSubquery="1" supportAdvancedDrill="1" xr:uid="{B18CFA9D-8423-4ADC-B7DD-A1504B16772A}">
  <cacheSource type="external" connectionId="2"/>
  <cacheFields count="3">
    <cacheField name="[Orders].[Product].[Product]" caption="Product" numFmtId="0" hierarchy="15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[Measures].[Sum of Revenue]" caption="Sum of Revenue" numFmtId="0" hierarchy="32" level="32767"/>
    <cacheField name="[Measures].[Sum of Profit]" caption="Sum of Profit" numFmtId="0" hierarchy="33" level="32767"/>
  </cacheFields>
  <cacheHierarchies count="34">
    <cacheHierarchy uniqueName="[Cookies types].[Cookie Type]" caption="Cookie Type" attribute="1" defaultMemberUniqueName="[Cookies types].[Cookie Type].[All]" allUniqueName="[Cookies types].[Cookie Type].[All]" dimensionUniqueName="[Cookies types]" displayFolder="" count="0" memberValueDatatype="130" unbalanced="0"/>
    <cacheHierarchy uniqueName="[Cookies types].[Units Sold]" caption="Units Sold" attribute="1" defaultMemberUniqueName="[Cookies types].[Units Sold].[All]" allUniqueName="[Cookies types].[Units Sold].[All]" dimensionUniqueName="[Cookies types]" displayFolder="" count="0" memberValueDatatype="5" unbalanced="0"/>
    <cacheHierarchy uniqueName="[Cookies types].[Revenue Per Cookie]" caption="Revenue Per Cookie" attribute="1" defaultMemberUniqueName="[Cookies types].[Revenue Per Cookie].[All]" allUniqueName="[Cookies types].[Revenue Per Cookie].[All]" dimensionUniqueName="[Cookies types]" displayFolder="" count="0" memberValueDatatype="5" unbalanced="0"/>
    <cacheHierarchy uniqueName="[Cookies types].[Cost Per Cookie]" caption="Cost Per Cookie" attribute="1" defaultMemberUniqueName="[Cookies types].[Cost Per Cookie].[All]" allUniqueName="[Cookies types].[Cost Per Cookie].[All]" dimensionUniqueName="[Cookies types]" displayFolder="" count="0" memberValueDatatype="5" unbalanced="0"/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5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13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Zip]" caption="Zip" attribute="1" defaultMemberUniqueName="[Customer].[Zip].[All]" allUniqueName="[Customer].[Zip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Notes]" caption="Notes" attribute="1" defaultMemberUniqueName="[Customer].[Notes].[All]" allUniqueName="[Customer].[Notes].[All]" dimensionUniqueName="[Customer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Cost]" caption="Cost" attribute="1" defaultMemberUniqueName="[Orders].[Cost].[All]" allUniqueName="[Orders].[Cos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ate (Year)]" caption="Date (Year)" attribute="1" defaultMemberUniqueName="[Orders].[Date (Year)].[All]" allUniqueName="[Orders].[Date (Year)].[All]" dimensionUniqueName="[Orders]" displayFolder="" count="0" memberValueDatatype="130" unbalanced="0"/>
    <cacheHierarchy uniqueName="[Orders].[Date (Quarter)]" caption="Date (Quarter)" attribute="1" defaultMemberUniqueName="[Orders].[Date (Quarter)].[All]" allUniqueName="[Orders].[Date (Quarter)].[All]" dimensionUniqueName="[Orders]" displayFolder="" count="0" memberValueDatatype="130" unbalanced="0"/>
    <cacheHierarchy uniqueName="[Orders].[Date (Month)]" caption="Date (Month)" attribute="1" defaultMemberUniqueName="[Orders].[Date (Month)].[All]" allUniqueName="[Orders].[Date (Month)].[All]" dimensionUniqueName="[Orders]" displayFolder="" count="0" memberValueDatatype="130" unbalanced="0"/>
    <cacheHierarchy uniqueName="[Orders].[Date (Month Index)]" caption="Date (Month Index)" attribute="1" defaultMemberUniqueName="[Orders].[Date (Month Index)].[All]" allUniqueName="[Orders].[Date (Month Index)].[All]" dimensionUniqueName="[Orders]" displayFolder="" count="0" memberValueDatatype="20" unbalanced="0" hidden="1"/>
    <cacheHierarchy uniqueName="[Measures].[__XL_Count Cookies types]" caption="__XL_Count Cookies types" measure="1" displayFolder="" measureGroup="Cookies types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Cookies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Cookies types" uniqueName="[Cookies types]" caption="Cookies types"/>
    <dimension name="Customer" uniqueName="[Customer]" caption="Customer"/>
    <dimension measure="1" name="Measures" uniqueName="[Measures]" caption="Measures"/>
    <dimension name="Orders" uniqueName="[Orders]" caption="Orders"/>
  </dimensions>
  <measureGroups count="3">
    <measureGroup name="Cookies types" caption="Cookies types"/>
    <measureGroup name="Customer" caption="Customer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ka B G" refreshedDate="45814.481441435186" createdVersion="5" refreshedVersion="8" minRefreshableVersion="3" recordCount="0" supportSubquery="1" supportAdvancedDrill="1" xr:uid="{8C085B18-17A1-46AB-8A0D-AB5FF9D7D39D}">
  <cacheSource type="external" connectionId="2"/>
  <cacheFields count="2">
    <cacheField name="[Customer].[Name].[Name]" caption="Name" numFmtId="0" hierarchy="5" level="1">
      <sharedItems count="5">
        <s v="ABC Groceries"/>
        <s v="ACME Bites"/>
        <s v="Park &amp; Shop Convenience Stores"/>
        <s v="Tres Delicious"/>
        <s v="Wholesome Foods"/>
      </sharedItems>
    </cacheField>
    <cacheField name="[Measures].[Count of Order ID]" caption="Count of Order ID" numFmtId="0" hierarchy="31" level="32767"/>
  </cacheFields>
  <cacheHierarchies count="34">
    <cacheHierarchy uniqueName="[Cookies types].[Cookie Type]" caption="Cookie Type" attribute="1" defaultMemberUniqueName="[Cookies types].[Cookie Type].[All]" allUniqueName="[Cookies types].[Cookie Type].[All]" dimensionUniqueName="[Cookies types]" displayFolder="" count="0" memberValueDatatype="130" unbalanced="0"/>
    <cacheHierarchy uniqueName="[Cookies types].[Units Sold]" caption="Units Sold" attribute="1" defaultMemberUniqueName="[Cookies types].[Units Sold].[All]" allUniqueName="[Cookies types].[Units Sold].[All]" dimensionUniqueName="[Cookies types]" displayFolder="" count="0" memberValueDatatype="5" unbalanced="0"/>
    <cacheHierarchy uniqueName="[Cookies types].[Revenue Per Cookie]" caption="Revenue Per Cookie" attribute="1" defaultMemberUniqueName="[Cookies types].[Revenue Per Cookie].[All]" allUniqueName="[Cookies types].[Revenue Per Cookie].[All]" dimensionUniqueName="[Cookies types]" displayFolder="" count="0" memberValueDatatype="5" unbalanced="0"/>
    <cacheHierarchy uniqueName="[Cookies types].[Cost Per Cookie]" caption="Cost Per Cookie" attribute="1" defaultMemberUniqueName="[Cookies types].[Cost Per Cookie].[All]" allUniqueName="[Cookies types].[Cost Per Cookie].[All]" dimensionUniqueName="[Cookies types]" displayFolder="" count="0" memberValueDatatype="5" unbalanced="0"/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5" unbalanced="0"/>
    <cacheHierarchy uniqueName="[Customer].[Name]" caption="Name" attribute="1" defaultMemberUniqueName="[Customer].[Name].[All]" allUniqueName="[Customer].[Name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Phone]" caption="Phone" attribute="1" defaultMemberUniqueName="[Customer].[Phone].[All]" allUniqueName="[Customer].[Phone].[All]" dimensionUniqueName="[Customer]" displayFolder="" count="0" memberValueDatatype="13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Zip]" caption="Zip" attribute="1" defaultMemberUniqueName="[Customer].[Zip].[All]" allUniqueName="[Customer].[Zip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Notes]" caption="Notes" attribute="1" defaultMemberUniqueName="[Customer].[Notes].[All]" allUniqueName="[Customer].[Notes].[All]" dimensionUniqueName="[Customer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0" memberValueDatatype="130" unbalanced="0"/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Cost]" caption="Cost" attribute="1" defaultMemberUniqueName="[Orders].[Cost].[All]" allUniqueName="[Orders].[Cos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ate (Year)]" caption="Date (Year)" attribute="1" defaultMemberUniqueName="[Orders].[Date (Year)].[All]" allUniqueName="[Orders].[Date (Year)].[All]" dimensionUniqueName="[Orders]" displayFolder="" count="0" memberValueDatatype="130" unbalanced="0"/>
    <cacheHierarchy uniqueName="[Orders].[Date (Quarter)]" caption="Date (Quarter)" attribute="1" defaultMemberUniqueName="[Orders].[Date (Quarter)].[All]" allUniqueName="[Orders].[Date (Quarter)].[All]" dimensionUniqueName="[Orders]" displayFolder="" count="0" memberValueDatatype="130" unbalanced="0"/>
    <cacheHierarchy uniqueName="[Orders].[Date (Month)]" caption="Date (Month)" attribute="1" defaultMemberUniqueName="[Orders].[Date (Month)].[All]" allUniqueName="[Orders].[Date (Month)].[All]" dimensionUniqueName="[Orders]" displayFolder="" count="0" memberValueDatatype="130" unbalanced="0"/>
    <cacheHierarchy uniqueName="[Orders].[Date (Month Index)]" caption="Date (Month Index)" attribute="1" defaultMemberUniqueName="[Orders].[Date (Month Index)].[All]" allUniqueName="[Orders].[Date (Month Index)].[All]" dimensionUniqueName="[Orders]" displayFolder="" count="0" memberValueDatatype="20" unbalanced="0" hidden="1"/>
    <cacheHierarchy uniqueName="[Measures].[__XL_Count Cookies types]" caption="__XL_Count Cookies types" measure="1" displayFolder="" measureGroup="Cookies types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Cookies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 ID]" caption="Count of Order 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Cookies types" uniqueName="[Cookies types]" caption="Cookies types"/>
    <dimension name="Customer" uniqueName="[Customer]" caption="Customer"/>
    <dimension measure="1" name="Measures" uniqueName="[Measures]" caption="Measures"/>
    <dimension name="Orders" uniqueName="[Orders]" caption="Orders"/>
  </dimensions>
  <measureGroups count="3">
    <measureGroup name="Cookies types" caption="Cookies types"/>
    <measureGroup name="Customer" caption="Customer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ka B G" refreshedDate="45814.482478472222" createdVersion="5" refreshedVersion="8" minRefreshableVersion="3" recordCount="0" supportSubquery="1" supportAdvancedDrill="1" xr:uid="{5B36AF93-BFDC-4A13-AC67-26D5A8D2A646}">
  <cacheSource type="external" connectionId="2"/>
  <cacheFields count="4">
    <cacheField name="[Cookies types].[Cookie Type].[Cookie Type]" caption="Cookie Type" numFmtId="0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[Orders].[Date (Month)].[Date (Month)]" caption="Date (Month)" numFmtId="0" hierarchy="23" level="1">
      <sharedItems count="12">
        <s v="Sep"/>
        <s v="Oct"/>
        <s v="Nov"/>
        <s v="Dec"/>
        <s v="Jan"/>
        <s v="Feb"/>
        <s v="Mar"/>
        <s v="Apr"/>
        <s v="May"/>
        <s v="Jun"/>
        <s v="Jul"/>
        <s v="Aug"/>
      </sharedItems>
    </cacheField>
    <cacheField name="[Orders].[Date (Year)].[Date (Year)]" caption="Date (Year)" numFmtId="0" hierarchy="21" level="1">
      <sharedItems count="2">
        <s v="2019"/>
        <s v="2020"/>
      </sharedItems>
    </cacheField>
    <cacheField name="[Measures].[Sum of Revenue]" caption="Sum of Revenue" numFmtId="0" hierarchy="32" level="32767"/>
  </cacheFields>
  <cacheHierarchies count="34">
    <cacheHierarchy uniqueName="[Cookies types].[Cookie Type]" caption="Cookie Type" attribute="1" defaultMemberUniqueName="[Cookies types].[Cookie Type].[All]" allUniqueName="[Cookies types].[Cookie Type].[All]" dimensionUniqueName="[Cookies types]" displayFolder="" count="2" memberValueDatatype="130" unbalanced="0">
      <fieldsUsage count="2">
        <fieldUsage x="-1"/>
        <fieldUsage x="0"/>
      </fieldsUsage>
    </cacheHierarchy>
    <cacheHierarchy uniqueName="[Cookies types].[Units Sold]" caption="Units Sold" attribute="1" defaultMemberUniqueName="[Cookies types].[Units Sold].[All]" allUniqueName="[Cookies types].[Units Sold].[All]" dimensionUniqueName="[Cookies types]" displayFolder="" count="0" memberValueDatatype="5" unbalanced="0"/>
    <cacheHierarchy uniqueName="[Cookies types].[Revenue Per Cookie]" caption="Revenue Per Cookie" attribute="1" defaultMemberUniqueName="[Cookies types].[Revenue Per Cookie].[All]" allUniqueName="[Cookies types].[Revenue Per Cookie].[All]" dimensionUniqueName="[Cookies types]" displayFolder="" count="0" memberValueDatatype="5" unbalanced="0"/>
    <cacheHierarchy uniqueName="[Cookies types].[Cost Per Cookie]" caption="Cost Per Cookie" attribute="1" defaultMemberUniqueName="[Cookies types].[Cost Per Cookie].[All]" allUniqueName="[Cookies types].[Cost Per Cookie].[All]" dimensionUniqueName="[Cookies types]" displayFolder="" count="0" memberValueDatatype="5" unbalanced="0"/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5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13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Zip]" caption="Zip" attribute="1" defaultMemberUniqueName="[Customer].[Zip].[All]" allUniqueName="[Customer].[Zip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Notes]" caption="Notes" attribute="1" defaultMemberUniqueName="[Customer].[Notes].[All]" allUniqueName="[Customer].[Notes].[All]" dimensionUniqueName="[Customer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0" memberValueDatatype="130" unbalanced="0"/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2" memberValueDatatype="7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Cost]" caption="Cost" attribute="1" defaultMemberUniqueName="[Orders].[Cost].[All]" allUniqueName="[Orders].[Cos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ate (Year)]" caption="Date (Year)" attribute="1" defaultMemberUniqueName="[Orders].[Date (Year)].[All]" allUniqueName="[Orders].[Date (Year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Date (Quarter)]" caption="Date (Quarter)" attribute="1" defaultMemberUniqueName="[Orders].[Date (Quarter)].[All]" allUniqueName="[Orders].[Date (Quarter)].[All]" dimensionUniqueName="[Orders]" displayFolder="" count="2" memberValueDatatype="130" unbalanced="0"/>
    <cacheHierarchy uniqueName="[Orders].[Date (Month)]" caption="Date (Month)" attribute="1" defaultMemberUniqueName="[Orders].[Date (Month)].[All]" allUniqueName="[Orders].[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Date (Month Index)]" caption="Date (Month Index)" attribute="1" defaultMemberUniqueName="[Orders].[Date (Month Index)].[All]" allUniqueName="[Orders].[Date (Month Index)].[All]" dimensionUniqueName="[Orders]" displayFolder="" count="0" memberValueDatatype="20" unbalanced="0" hidden="1"/>
    <cacheHierarchy uniqueName="[Measures].[__XL_Count Cookies types]" caption="__XL_Count Cookies types" measure="1" displayFolder="" measureGroup="Cookies types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Cookies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Cookies types" uniqueName="[Cookies types]" caption="Cookies types"/>
    <dimension name="Customer" uniqueName="[Customer]" caption="Customer"/>
    <dimension measure="1" name="Measures" uniqueName="[Measures]" caption="Measures"/>
    <dimension name="Orders" uniqueName="[Orders]" caption="Orders"/>
  </dimensions>
  <measureGroups count="3">
    <measureGroup name="Cookies types" caption="Cookies types"/>
    <measureGroup name="Customer" caption="Customer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ka B G" refreshedDate="45814.48683483796" createdVersion="5" refreshedVersion="8" minRefreshableVersion="3" recordCount="0" supportSubquery="1" supportAdvancedDrill="1" xr:uid="{B953A028-7F15-411C-A77B-2C40801ECCD3}">
  <cacheSource type="external" connectionId="2"/>
  <cacheFields count="3">
    <cacheField name="[Customer].[City].[City]" caption="City" numFmtId="0" hierarchy="8" level="1">
      <sharedItems count="5">
        <s v="Green Bay"/>
        <s v="Huntington"/>
        <s v="Mobile"/>
        <s v="Salt Lake City"/>
        <s v="Seattle"/>
      </sharedItems>
    </cacheField>
    <cacheField name="[Cookies types].[Cookie Type].[Cookie Type]" caption="Cookie Type" numFmtId="0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[Measures].[Sum of Revenue]" caption="Sum of Revenue" numFmtId="0" hierarchy="32" level="32767"/>
  </cacheFields>
  <cacheHierarchies count="34">
    <cacheHierarchy uniqueName="[Cookies types].[Cookie Type]" caption="Cookie Type" attribute="1" defaultMemberUniqueName="[Cookies types].[Cookie Type].[All]" allUniqueName="[Cookies types].[Cookie Type].[All]" dimensionUniqueName="[Cookies types]" displayFolder="" count="2" memberValueDatatype="130" unbalanced="0">
      <fieldsUsage count="2">
        <fieldUsage x="-1"/>
        <fieldUsage x="1"/>
      </fieldsUsage>
    </cacheHierarchy>
    <cacheHierarchy uniqueName="[Cookies types].[Units Sold]" caption="Units Sold" attribute="1" defaultMemberUniqueName="[Cookies types].[Units Sold].[All]" allUniqueName="[Cookies types].[Units Sold].[All]" dimensionUniqueName="[Cookies types]" displayFolder="" count="0" memberValueDatatype="5" unbalanced="0"/>
    <cacheHierarchy uniqueName="[Cookies types].[Revenue Per Cookie]" caption="Revenue Per Cookie" attribute="1" defaultMemberUniqueName="[Cookies types].[Revenue Per Cookie].[All]" allUniqueName="[Cookies types].[Revenue Per Cookie].[All]" dimensionUniqueName="[Cookies types]" displayFolder="" count="0" memberValueDatatype="5" unbalanced="0"/>
    <cacheHierarchy uniqueName="[Cookies types].[Cost Per Cookie]" caption="Cost Per Cookie" attribute="1" defaultMemberUniqueName="[Cookies types].[Cost Per Cookie].[All]" allUniqueName="[Cookies types].[Cost Per Cookie].[All]" dimensionUniqueName="[Cookies types]" displayFolder="" count="0" memberValueDatatype="5" unbalanced="0"/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5" unbalanced="0"/>
    <cacheHierarchy uniqueName="[Customer].[Name]" caption="Name" attribute="1" defaultMemberUniqueName="[Customer].[Name].[All]" allUniqueName="[Customer].[Name].[All]" dimensionUniqueName="[Customer]" displayFolder="" count="2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13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Zip]" caption="Zip" attribute="1" defaultMemberUniqueName="[Customer].[Zip].[All]" allUniqueName="[Customer].[Zip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Notes]" caption="Notes" attribute="1" defaultMemberUniqueName="[Customer].[Notes].[All]" allUniqueName="[Customer].[Notes].[All]" dimensionUniqueName="[Customer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0" memberValueDatatype="130" unbalanced="0"/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].[Cost]" caption="Cost" attribute="1" defaultMemberUniqueName="[Orders].[Cost].[All]" allUniqueName="[Orders].[Cos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Date (Year)]" caption="Date (Year)" attribute="1" defaultMemberUniqueName="[Orders].[Date (Year)].[All]" allUniqueName="[Orders].[Date (Year)].[All]" dimensionUniqueName="[Orders]" displayFolder="" count="0" memberValueDatatype="130" unbalanced="0"/>
    <cacheHierarchy uniqueName="[Orders].[Date (Quarter)]" caption="Date (Quarter)" attribute="1" defaultMemberUniqueName="[Orders].[Date (Quarter)].[All]" allUniqueName="[Orders].[Date (Quarter)].[All]" dimensionUniqueName="[Orders]" displayFolder="" count="0" memberValueDatatype="130" unbalanced="0"/>
    <cacheHierarchy uniqueName="[Orders].[Date (Month)]" caption="Date (Month)" attribute="1" defaultMemberUniqueName="[Orders].[Date (Month)].[All]" allUniqueName="[Orders].[Date (Month)].[All]" dimensionUniqueName="[Orders]" displayFolder="" count="0" memberValueDatatype="130" unbalanced="0"/>
    <cacheHierarchy uniqueName="[Orders].[Date (Month Index)]" caption="Date (Month Index)" attribute="1" defaultMemberUniqueName="[Orders].[Date (Month Index)].[All]" allUniqueName="[Orders].[Date (Month Index)].[All]" dimensionUniqueName="[Orders]" displayFolder="" count="0" memberValueDatatype="20" unbalanced="0" hidden="1"/>
    <cacheHierarchy uniqueName="[Measures].[__XL_Count Cookies types]" caption="__XL_Count Cookies types" measure="1" displayFolder="" measureGroup="Cookies types" count="0" hidden="1"/>
    <cacheHierarchy uniqueName="[Measures].[__XL_Count Customer]" caption="__XL_Count Customer" measure="1" displayFolder="" measureGroup="Customer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Cookies typ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D]" caption="Sum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Cookies types" uniqueName="[Cookies types]" caption="Cookies types"/>
    <dimension name="Customer" uniqueName="[Customer]" caption="Customer"/>
    <dimension measure="1" name="Measures" uniqueName="[Measures]" caption="Measures"/>
    <dimension name="Orders" uniqueName="[Orders]" caption="Orders"/>
  </dimensions>
  <measureGroups count="3">
    <measureGroup name="Cookies types" caption="Cookies types"/>
    <measureGroup name="Customer" caption="Customer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784D3-727D-4677-ACDC-D5C2C0594A26}" name="PivotTable4" cacheId="127" applyNumberFormats="0" applyBorderFormats="0" applyFontFormats="0" applyPatternFormats="0" applyAlignmentFormats="0" applyWidthHeightFormats="1" dataCaption="Values" tag="183eff65-67af-4c22-af61-b94357ac5f77" updatedVersion="8" minRefreshableVersion="3" useAutoFormatting="1" itemPrintTitles="1" createdVersion="5" indent="0" outline="1" outlineData="1" multipleFieldFilters="0">
  <location ref="B60:I67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" fld="2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 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s types]"/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463AC-C065-4E52-AE10-BF2634179B1E}" name="PivotTable3" cacheId="111" applyNumberFormats="0" applyBorderFormats="0" applyFontFormats="0" applyPatternFormats="0" applyAlignmentFormats="0" applyWidthHeightFormats="1" dataCaption="Values" tag="ed02a00b-0db2-4946-b708-02b074f5528e" updatedVersion="8" minRefreshableVersion="3" useAutoFormatting="1" itemPrintTitles="1" createdVersion="5" indent="0" outline="1" outlineData="1" multipleFieldFilters="0">
  <location ref="B28:I48" firstHeaderRow="1" firstDataRow="2" firstDataCol="1"/>
  <pivotFields count="4"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>
      <items count="2">
        <item x="0"/>
        <item x="1"/>
      </items>
    </pivotField>
    <pivotField dataField="1" subtotalTop="0" showAll="0" defaultSubtotal="0"/>
  </pivotFields>
  <rowFields count="2">
    <field x="2"/>
    <field x="1"/>
  </rowFields>
  <rowItems count="19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" fld="3" baseField="0" baseItem="0"/>
  </dataFields>
  <formats count="1">
    <format dxfId="16">
      <pivotArea grandRow="1"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 ID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23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s types]"/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C9DB6-5F62-4E79-B559-DAC65588C4F6}" name="PivotTable2" cacheId="48" applyNumberFormats="0" applyBorderFormats="0" applyFontFormats="0" applyPatternFormats="0" applyAlignmentFormats="0" applyWidthHeightFormats="1" dataCaption="Values" tag="83140c6c-8a43-43e1-94cc-03ca24103345" updatedVersion="8" minRefreshableVersion="3" useAutoFormatting="1" itemPrintTitles="1" createdVersion="5" indent="0" outline="1" outlineData="1" multipleFieldFilters="0">
  <location ref="B15:D22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" baseField="0" baseItem="0"/>
    <dataField name="Sum of Profit" fld="2" baseField="0" baseItem="0"/>
  </dataFields>
  <formats count="2">
    <format dxfId="34">
      <pivotArea collapsedLevelsAreSubtotals="1" fieldPosition="0">
        <references count="1">
          <reference field="0" count="1">
            <x v="0"/>
          </reference>
        </references>
      </pivotArea>
    </format>
    <format dxfId="33">
      <pivotArea grandRow="1"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 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s types]"/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E3D40-33A5-4F8A-8AA1-7B3313641918}" name="PivotTable1" cacheId="51" applyNumberFormats="0" applyBorderFormats="0" applyFontFormats="0" applyPatternFormats="0" applyAlignmentFormats="0" applyWidthHeightFormats="1" dataCaption="Values" tag="fd2b558d-2b53-4915-aa5a-ff1df6a8fcad" updatedVersion="8" minRefreshableVersion="3" useAutoFormatting="1" subtotalHiddenItems="1" itemPrintTitles="1" createdVersion="5" indent="0" outline="1" outlineData="1" multipleFieldFilters="0" chartFormat="5">
  <location ref="B3:C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 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okies types]"/>
        <x15:activeTabTopLevelEntity name="[Custome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2D85-C779-4B52-8858-BB45D05AC8D0}">
  <dimension ref="B3:I67"/>
  <sheetViews>
    <sheetView tabSelected="1" zoomScale="179" workbookViewId="0">
      <selection activeCell="G14" sqref="F14:G14"/>
    </sheetView>
  </sheetViews>
  <sheetFormatPr defaultRowHeight="14.25" x14ac:dyDescent="0.45"/>
  <cols>
    <col min="2" max="2" width="13.6640625" bestFit="1" customWidth="1"/>
    <col min="3" max="3" width="14.73046875" bestFit="1" customWidth="1"/>
    <col min="4" max="5" width="12.9296875" bestFit="1" customWidth="1"/>
    <col min="6" max="6" width="12.33203125" bestFit="1" customWidth="1"/>
    <col min="7" max="7" width="8.73046875" bestFit="1" customWidth="1"/>
    <col min="8" max="8" width="27.1328125" bestFit="1" customWidth="1"/>
    <col min="9" max="9" width="9.9296875" bestFit="1" customWidth="1"/>
  </cols>
  <sheetData>
    <row r="3" spans="2:4" x14ac:dyDescent="0.45">
      <c r="B3" s="1" t="s">
        <v>0</v>
      </c>
      <c r="C3" t="s">
        <v>7</v>
      </c>
    </row>
    <row r="4" spans="2:4" x14ac:dyDescent="0.45">
      <c r="B4" s="2" t="s">
        <v>1</v>
      </c>
      <c r="C4" s="3">
        <v>132</v>
      </c>
    </row>
    <row r="5" spans="2:4" x14ac:dyDescent="0.45">
      <c r="B5" s="2" t="s">
        <v>2</v>
      </c>
      <c r="C5" s="3">
        <v>206</v>
      </c>
    </row>
    <row r="6" spans="2:4" x14ac:dyDescent="0.45">
      <c r="B6" s="2" t="s">
        <v>3</v>
      </c>
      <c r="C6" s="3">
        <v>114</v>
      </c>
    </row>
    <row r="7" spans="2:4" x14ac:dyDescent="0.45">
      <c r="B7" s="2" t="s">
        <v>4</v>
      </c>
      <c r="C7" s="3">
        <v>92</v>
      </c>
    </row>
    <row r="8" spans="2:4" x14ac:dyDescent="0.45">
      <c r="B8" s="2" t="s">
        <v>5</v>
      </c>
      <c r="C8" s="3">
        <v>156</v>
      </c>
    </row>
    <row r="9" spans="2:4" x14ac:dyDescent="0.45">
      <c r="B9" s="2" t="s">
        <v>6</v>
      </c>
      <c r="C9" s="3">
        <v>700</v>
      </c>
    </row>
    <row r="15" spans="2:4" x14ac:dyDescent="0.45">
      <c r="B15" s="1" t="s">
        <v>0</v>
      </c>
      <c r="C15" t="s">
        <v>14</v>
      </c>
      <c r="D15" t="s">
        <v>15</v>
      </c>
    </row>
    <row r="16" spans="2:4" x14ac:dyDescent="0.45">
      <c r="B16" s="2" t="s">
        <v>8</v>
      </c>
      <c r="C16" s="4">
        <v>1691197.5</v>
      </c>
      <c r="D16" s="4">
        <v>1014718.5</v>
      </c>
    </row>
    <row r="17" spans="2:9" x14ac:dyDescent="0.45">
      <c r="B17" s="2" t="s">
        <v>9</v>
      </c>
      <c r="C17" s="3">
        <v>154198</v>
      </c>
      <c r="D17" s="3">
        <v>77099</v>
      </c>
    </row>
    <row r="18" spans="2:9" x14ac:dyDescent="0.45">
      <c r="B18" s="2" t="s">
        <v>10</v>
      </c>
      <c r="C18" s="3">
        <v>776575</v>
      </c>
      <c r="D18" s="3">
        <v>434882</v>
      </c>
    </row>
    <row r="19" spans="2:9" x14ac:dyDescent="0.45">
      <c r="B19" s="2" t="s">
        <v>11</v>
      </c>
      <c r="C19" s="3">
        <v>587384</v>
      </c>
      <c r="D19" s="3">
        <v>367115</v>
      </c>
    </row>
    <row r="20" spans="2:9" x14ac:dyDescent="0.45">
      <c r="B20" s="2" t="s">
        <v>12</v>
      </c>
      <c r="C20" s="3">
        <v>506349</v>
      </c>
      <c r="D20" s="3">
        <v>295370.25</v>
      </c>
    </row>
    <row r="21" spans="2:9" x14ac:dyDescent="0.45">
      <c r="B21" s="2" t="s">
        <v>13</v>
      </c>
      <c r="C21" s="3">
        <v>974547</v>
      </c>
      <c r="D21" s="3">
        <v>527879.625</v>
      </c>
    </row>
    <row r="22" spans="2:9" x14ac:dyDescent="0.45">
      <c r="B22" s="2" t="s">
        <v>6</v>
      </c>
      <c r="C22" s="4">
        <v>4690250.5</v>
      </c>
      <c r="D22" s="4">
        <v>2717064.3750000005</v>
      </c>
    </row>
    <row r="26" spans="2:9" x14ac:dyDescent="0.45">
      <c r="B26" t="s">
        <v>16</v>
      </c>
    </row>
    <row r="28" spans="2:9" x14ac:dyDescent="0.45">
      <c r="B28" s="1" t="s">
        <v>14</v>
      </c>
      <c r="C28" s="1" t="s">
        <v>17</v>
      </c>
    </row>
    <row r="29" spans="2:9" x14ac:dyDescent="0.45">
      <c r="B29" s="1" t="s">
        <v>0</v>
      </c>
      <c r="C29" t="s">
        <v>8</v>
      </c>
      <c r="D29" t="s">
        <v>9</v>
      </c>
      <c r="E29" t="s">
        <v>10</v>
      </c>
      <c r="F29" t="s">
        <v>11</v>
      </c>
      <c r="G29" t="s">
        <v>12</v>
      </c>
      <c r="H29" t="s">
        <v>13</v>
      </c>
      <c r="I29" t="s">
        <v>6</v>
      </c>
    </row>
    <row r="30" spans="2:9" x14ac:dyDescent="0.45">
      <c r="B30" s="2" t="s">
        <v>18</v>
      </c>
      <c r="C30" s="3"/>
      <c r="D30" s="3"/>
      <c r="E30" s="3"/>
      <c r="F30" s="3"/>
      <c r="G30" s="3"/>
      <c r="H30" s="3"/>
      <c r="I30" s="3"/>
    </row>
    <row r="31" spans="2:9" x14ac:dyDescent="0.45">
      <c r="B31" s="5" t="s">
        <v>19</v>
      </c>
      <c r="C31" s="3">
        <v>78950</v>
      </c>
      <c r="D31" s="3">
        <v>6620</v>
      </c>
      <c r="E31" s="3">
        <v>33455</v>
      </c>
      <c r="F31" s="3">
        <v>24180</v>
      </c>
      <c r="G31" s="3">
        <v>23859</v>
      </c>
      <c r="H31" s="3">
        <v>45012</v>
      </c>
      <c r="I31" s="3">
        <v>212076</v>
      </c>
    </row>
    <row r="32" spans="2:9" x14ac:dyDescent="0.45">
      <c r="B32" s="5" t="s">
        <v>20</v>
      </c>
      <c r="C32" s="3">
        <v>133945</v>
      </c>
      <c r="D32" s="3">
        <v>17608</v>
      </c>
      <c r="E32" s="3">
        <v>70220</v>
      </c>
      <c r="F32" s="3">
        <v>46284</v>
      </c>
      <c r="G32" s="3">
        <v>35322</v>
      </c>
      <c r="H32" s="3">
        <v>83016</v>
      </c>
      <c r="I32" s="3">
        <v>386395</v>
      </c>
    </row>
    <row r="33" spans="2:9" x14ac:dyDescent="0.45">
      <c r="B33" s="5" t="s">
        <v>21</v>
      </c>
      <c r="C33" s="3">
        <v>104060</v>
      </c>
      <c r="D33" s="3">
        <v>7821</v>
      </c>
      <c r="E33" s="3">
        <v>28545</v>
      </c>
      <c r="F33" s="3">
        <v>30760</v>
      </c>
      <c r="G33" s="3">
        <v>39768</v>
      </c>
      <c r="H33" s="3">
        <v>61158</v>
      </c>
      <c r="I33" s="3">
        <v>272112</v>
      </c>
    </row>
    <row r="34" spans="2:9" x14ac:dyDescent="0.45">
      <c r="B34" s="5" t="s">
        <v>22</v>
      </c>
      <c r="C34" s="3">
        <v>94280</v>
      </c>
      <c r="D34" s="3">
        <v>4231</v>
      </c>
      <c r="E34" s="3">
        <v>36220</v>
      </c>
      <c r="F34" s="3">
        <v>24392</v>
      </c>
      <c r="G34" s="3">
        <v>25803</v>
      </c>
      <c r="H34" s="3">
        <v>47640</v>
      </c>
      <c r="I34" s="3">
        <v>232566</v>
      </c>
    </row>
    <row r="35" spans="2:9" x14ac:dyDescent="0.45">
      <c r="B35" s="2" t="s">
        <v>23</v>
      </c>
      <c r="C35" s="3"/>
      <c r="D35" s="3"/>
      <c r="E35" s="3"/>
      <c r="F35" s="3"/>
      <c r="G35" s="3"/>
      <c r="H35" s="3"/>
      <c r="I35" s="3"/>
    </row>
    <row r="36" spans="2:9" x14ac:dyDescent="0.45">
      <c r="B36" s="5" t="s">
        <v>24</v>
      </c>
      <c r="C36" s="3">
        <v>117990</v>
      </c>
      <c r="D36" s="3">
        <v>7700.5</v>
      </c>
      <c r="E36" s="3">
        <v>50097.5</v>
      </c>
      <c r="F36" s="3">
        <v>26314</v>
      </c>
      <c r="G36" s="3">
        <v>29902.5</v>
      </c>
      <c r="H36" s="3">
        <v>59829</v>
      </c>
      <c r="I36" s="3">
        <v>291833.5</v>
      </c>
    </row>
    <row r="37" spans="2:9" x14ac:dyDescent="0.45">
      <c r="B37" s="5" t="s">
        <v>25</v>
      </c>
      <c r="C37" s="3">
        <v>73145</v>
      </c>
      <c r="D37" s="3">
        <v>5405</v>
      </c>
      <c r="E37" s="3">
        <v>42375</v>
      </c>
      <c r="F37" s="3">
        <v>30012</v>
      </c>
      <c r="G37" s="3">
        <v>33630</v>
      </c>
      <c r="H37" s="3">
        <v>47358</v>
      </c>
      <c r="I37" s="3">
        <v>231925</v>
      </c>
    </row>
    <row r="38" spans="2:9" x14ac:dyDescent="0.45">
      <c r="B38" s="5" t="s">
        <v>26</v>
      </c>
      <c r="C38" s="3">
        <v>83475</v>
      </c>
      <c r="D38" s="3">
        <v>8280</v>
      </c>
      <c r="E38" s="3">
        <v>38580</v>
      </c>
      <c r="F38" s="3">
        <v>25904</v>
      </c>
      <c r="G38" s="3">
        <v>22686</v>
      </c>
      <c r="H38" s="3">
        <v>40146</v>
      </c>
      <c r="I38" s="3">
        <v>219071</v>
      </c>
    </row>
    <row r="39" spans="2:9" x14ac:dyDescent="0.45">
      <c r="B39" s="5" t="s">
        <v>27</v>
      </c>
      <c r="C39" s="3">
        <v>118265</v>
      </c>
      <c r="D39" s="3">
        <v>10055.5</v>
      </c>
      <c r="E39" s="3">
        <v>53835</v>
      </c>
      <c r="F39" s="3">
        <v>54362</v>
      </c>
      <c r="G39" s="3">
        <v>28086</v>
      </c>
      <c r="H39" s="3">
        <v>68751</v>
      </c>
      <c r="I39" s="3">
        <v>333354.5</v>
      </c>
    </row>
    <row r="40" spans="2:9" x14ac:dyDescent="0.45">
      <c r="B40" s="5" t="s">
        <v>28</v>
      </c>
      <c r="C40" s="3">
        <v>77085</v>
      </c>
      <c r="D40" s="3">
        <v>8300</v>
      </c>
      <c r="E40" s="3">
        <v>51185</v>
      </c>
      <c r="F40" s="3">
        <v>19200</v>
      </c>
      <c r="G40" s="3">
        <v>18006</v>
      </c>
      <c r="H40" s="3">
        <v>42090</v>
      </c>
      <c r="I40" s="3">
        <v>215866</v>
      </c>
    </row>
    <row r="41" spans="2:9" x14ac:dyDescent="0.45">
      <c r="B41" s="5" t="s">
        <v>29</v>
      </c>
      <c r="C41" s="3">
        <v>127990</v>
      </c>
      <c r="D41" s="3">
        <v>14069</v>
      </c>
      <c r="E41" s="3">
        <v>69925</v>
      </c>
      <c r="F41" s="3">
        <v>60220</v>
      </c>
      <c r="G41" s="3">
        <v>52926</v>
      </c>
      <c r="H41" s="3">
        <v>101718</v>
      </c>
      <c r="I41" s="3">
        <v>426848</v>
      </c>
    </row>
    <row r="42" spans="2:9" x14ac:dyDescent="0.45">
      <c r="B42" s="5" t="s">
        <v>30</v>
      </c>
      <c r="C42" s="3">
        <v>113187.5</v>
      </c>
      <c r="D42" s="3">
        <v>10568</v>
      </c>
      <c r="E42" s="3">
        <v>58102.5</v>
      </c>
      <c r="F42" s="3">
        <v>27840</v>
      </c>
      <c r="G42" s="3">
        <v>18928.5</v>
      </c>
      <c r="H42" s="3">
        <v>67521</v>
      </c>
      <c r="I42" s="3">
        <v>296147.5</v>
      </c>
    </row>
    <row r="43" spans="2:9" x14ac:dyDescent="0.45">
      <c r="B43" s="5" t="s">
        <v>31</v>
      </c>
      <c r="C43" s="3">
        <v>94170</v>
      </c>
      <c r="D43" s="3">
        <v>6209</v>
      </c>
      <c r="E43" s="3">
        <v>44325</v>
      </c>
      <c r="F43" s="3">
        <v>29460</v>
      </c>
      <c r="G43" s="3">
        <v>29001</v>
      </c>
      <c r="H43" s="3">
        <v>58590</v>
      </c>
      <c r="I43" s="3">
        <v>261755</v>
      </c>
    </row>
    <row r="44" spans="2:9" x14ac:dyDescent="0.45">
      <c r="B44" s="5" t="s">
        <v>19</v>
      </c>
      <c r="C44" s="3">
        <v>87080</v>
      </c>
      <c r="D44" s="3">
        <v>7826</v>
      </c>
      <c r="E44" s="3">
        <v>46200</v>
      </c>
      <c r="F44" s="3">
        <v>32820</v>
      </c>
      <c r="G44" s="3">
        <v>22710</v>
      </c>
      <c r="H44" s="3">
        <v>42138</v>
      </c>
      <c r="I44" s="3">
        <v>238774</v>
      </c>
    </row>
    <row r="45" spans="2:9" x14ac:dyDescent="0.45">
      <c r="B45" s="5" t="s">
        <v>20</v>
      </c>
      <c r="C45" s="3">
        <v>148115</v>
      </c>
      <c r="D45" s="3">
        <v>14304</v>
      </c>
      <c r="E45" s="3">
        <v>63060</v>
      </c>
      <c r="F45" s="3">
        <v>60328</v>
      </c>
      <c r="G45" s="3">
        <v>54336</v>
      </c>
      <c r="H45" s="3">
        <v>94494</v>
      </c>
      <c r="I45" s="3">
        <v>434637</v>
      </c>
    </row>
    <row r="46" spans="2:9" x14ac:dyDescent="0.45">
      <c r="B46" s="5" t="s">
        <v>21</v>
      </c>
      <c r="C46" s="3">
        <v>70645</v>
      </c>
      <c r="D46" s="3">
        <v>10418</v>
      </c>
      <c r="E46" s="3">
        <v>32545</v>
      </c>
      <c r="F46" s="3">
        <v>38052</v>
      </c>
      <c r="G46" s="3">
        <v>24267</v>
      </c>
      <c r="H46" s="3">
        <v>41952</v>
      </c>
      <c r="I46" s="3">
        <v>217879</v>
      </c>
    </row>
    <row r="47" spans="2:9" x14ac:dyDescent="0.45">
      <c r="B47" s="5" t="s">
        <v>22</v>
      </c>
      <c r="C47" s="3">
        <v>168815</v>
      </c>
      <c r="D47" s="3">
        <v>14783</v>
      </c>
      <c r="E47" s="3">
        <v>57905</v>
      </c>
      <c r="F47" s="3">
        <v>57256</v>
      </c>
      <c r="G47" s="3">
        <v>47118</v>
      </c>
      <c r="H47" s="3">
        <v>73134</v>
      </c>
      <c r="I47" s="3">
        <v>419011</v>
      </c>
    </row>
    <row r="48" spans="2:9" x14ac:dyDescent="0.45">
      <c r="B48" s="2" t="s">
        <v>6</v>
      </c>
      <c r="C48" s="4">
        <v>1691197.5</v>
      </c>
      <c r="D48" s="4">
        <v>154198</v>
      </c>
      <c r="E48" s="4">
        <v>776575</v>
      </c>
      <c r="F48" s="4">
        <v>587384</v>
      </c>
      <c r="G48" s="4">
        <v>506349</v>
      </c>
      <c r="H48" s="4">
        <v>974547</v>
      </c>
      <c r="I48" s="4">
        <v>4690250.5</v>
      </c>
    </row>
    <row r="54" spans="2:9" x14ac:dyDescent="0.45">
      <c r="B54" t="s">
        <v>32</v>
      </c>
    </row>
    <row r="60" spans="2:9" x14ac:dyDescent="0.45">
      <c r="B60" s="1" t="s">
        <v>14</v>
      </c>
      <c r="C60" s="1" t="s">
        <v>17</v>
      </c>
    </row>
    <row r="61" spans="2:9" x14ac:dyDescent="0.45">
      <c r="B61" s="1" t="s">
        <v>0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  <c r="I61" t="s">
        <v>6</v>
      </c>
    </row>
    <row r="62" spans="2:9" x14ac:dyDescent="0.45">
      <c r="B62" s="2" t="s">
        <v>33</v>
      </c>
      <c r="C62" s="3">
        <v>589200</v>
      </c>
      <c r="D62" s="3">
        <v>42962.5</v>
      </c>
      <c r="E62" s="3">
        <v>372240</v>
      </c>
      <c r="F62" s="3">
        <v>126736</v>
      </c>
      <c r="G62" s="3">
        <v>76399.5</v>
      </c>
      <c r="H62" s="3">
        <v>223653</v>
      </c>
      <c r="I62" s="3">
        <v>1431191</v>
      </c>
    </row>
    <row r="63" spans="2:9" x14ac:dyDescent="0.45">
      <c r="B63" s="2" t="s">
        <v>34</v>
      </c>
      <c r="C63" s="3">
        <v>327195</v>
      </c>
      <c r="D63" s="3">
        <v>44718.5</v>
      </c>
      <c r="E63" s="3">
        <v>199942.5</v>
      </c>
      <c r="F63" s="3">
        <v>183216</v>
      </c>
      <c r="G63" s="3">
        <v>72069</v>
      </c>
      <c r="H63" s="3">
        <v>281502</v>
      </c>
      <c r="I63" s="3">
        <v>1108643</v>
      </c>
    </row>
    <row r="64" spans="2:9" x14ac:dyDescent="0.45">
      <c r="B64" s="2" t="s">
        <v>35</v>
      </c>
      <c r="C64" s="3">
        <v>314297.5</v>
      </c>
      <c r="D64" s="3">
        <v>23290.5</v>
      </c>
      <c r="E64" s="3">
        <v>76775</v>
      </c>
      <c r="F64" s="3">
        <v>81576</v>
      </c>
      <c r="G64" s="3">
        <v>115471.5</v>
      </c>
      <c r="H64" s="3">
        <v>114348</v>
      </c>
      <c r="I64" s="3">
        <v>725758.5</v>
      </c>
    </row>
    <row r="65" spans="2:9" x14ac:dyDescent="0.45">
      <c r="B65" s="2" t="s">
        <v>36</v>
      </c>
      <c r="C65" s="3">
        <v>315540</v>
      </c>
      <c r="D65" s="3">
        <v>24758</v>
      </c>
      <c r="E65" s="3">
        <v>96842.5</v>
      </c>
      <c r="F65" s="3">
        <v>92804</v>
      </c>
      <c r="G65" s="3">
        <v>170062.5</v>
      </c>
      <c r="H65" s="3">
        <v>203400</v>
      </c>
      <c r="I65" s="3">
        <v>903407</v>
      </c>
    </row>
    <row r="66" spans="2:9" x14ac:dyDescent="0.45">
      <c r="B66" s="2" t="s">
        <v>37</v>
      </c>
      <c r="C66" s="3">
        <v>144965</v>
      </c>
      <c r="D66" s="3">
        <v>18468.5</v>
      </c>
      <c r="E66" s="3">
        <v>30775</v>
      </c>
      <c r="F66" s="3">
        <v>103052</v>
      </c>
      <c r="G66" s="3">
        <v>72346.5</v>
      </c>
      <c r="H66" s="3">
        <v>151644</v>
      </c>
      <c r="I66" s="3">
        <v>521251</v>
      </c>
    </row>
    <row r="67" spans="2:9" x14ac:dyDescent="0.45">
      <c r="B67" s="2" t="s">
        <v>6</v>
      </c>
      <c r="C67" s="3">
        <v>1691197.5</v>
      </c>
      <c r="D67" s="3">
        <v>154198</v>
      </c>
      <c r="E67" s="3">
        <v>776575</v>
      </c>
      <c r="F67" s="3">
        <v>587384</v>
      </c>
      <c r="G67" s="3">
        <v>506349</v>
      </c>
      <c r="H67" s="3">
        <v>974547</v>
      </c>
      <c r="I67" s="3">
        <v>4690250.5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90B9-D4ED-4CD8-B1FA-0AC43B6E7A4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67AF8BA-9404-4FB8-AD94-F3419E00BDFF}">
  <ds:schemaRefs/>
</ds:datastoreItem>
</file>

<file path=customXml/itemProps2.xml><?xml version="1.0" encoding="utf-8"?>
<ds:datastoreItem xmlns:ds="http://schemas.openxmlformats.org/officeDocument/2006/customXml" ds:itemID="{45F6B0D0-443E-4CA9-A8E6-1919EDFBAB73}">
  <ds:schemaRefs/>
</ds:datastoreItem>
</file>

<file path=customXml/itemProps3.xml><?xml version="1.0" encoding="utf-8"?>
<ds:datastoreItem xmlns:ds="http://schemas.openxmlformats.org/officeDocument/2006/customXml" ds:itemID="{7A7C4DE9-628D-4085-A5CC-E0DF5F8A1E94}">
  <ds:schemaRefs/>
</ds:datastoreItem>
</file>

<file path=customXml/itemProps4.xml><?xml version="1.0" encoding="utf-8"?>
<ds:datastoreItem xmlns:ds="http://schemas.openxmlformats.org/officeDocument/2006/customXml" ds:itemID="{9665EA8B-343D-4B62-94FB-C06F01DD4FB0}">
  <ds:schemaRefs/>
</ds:datastoreItem>
</file>

<file path=customXml/itemProps5.xml><?xml version="1.0" encoding="utf-8"?>
<ds:datastoreItem xmlns:ds="http://schemas.openxmlformats.org/officeDocument/2006/customXml" ds:itemID="{68CE79F0-0DD9-4EBE-8611-C56101107AC3}">
  <ds:schemaRefs/>
</ds:datastoreItem>
</file>

<file path=customXml/itemProps6.xml><?xml version="1.0" encoding="utf-8"?>
<ds:datastoreItem xmlns:ds="http://schemas.openxmlformats.org/officeDocument/2006/customXml" ds:itemID="{4F1E54E7-83EE-4E75-BF60-569F72E3E267}">
  <ds:schemaRefs/>
</ds:datastoreItem>
</file>

<file path=customXml/itemProps7.xml><?xml version="1.0" encoding="utf-8"?>
<ds:datastoreItem xmlns:ds="http://schemas.openxmlformats.org/officeDocument/2006/customXml" ds:itemID="{B0B53797-6921-4A67-8A3E-CF08403D5C3A}">
  <ds:schemaRefs/>
</ds:datastoreItem>
</file>

<file path=customXml/itemProps8.xml><?xml version="1.0" encoding="utf-8"?>
<ds:datastoreItem xmlns:ds="http://schemas.openxmlformats.org/officeDocument/2006/customXml" ds:itemID="{667E24B0-2369-4C55-ADB4-CD53553FCD3E}">
  <ds:schemaRefs/>
</ds:datastoreItem>
</file>

<file path=customXml/itemProps9.xml><?xml version="1.0" encoding="utf-8"?>
<ds:datastoreItem xmlns:ds="http://schemas.openxmlformats.org/officeDocument/2006/customXml" ds:itemID="{30109C5C-3492-42A7-8543-E340362376BF}">
  <ds:schemaRefs/>
</ds:datastoreItem>
</file>

<file path=customXml/itemProps10.xml><?xml version="1.0" encoding="utf-8"?>
<ds:datastoreItem xmlns:ds="http://schemas.openxmlformats.org/officeDocument/2006/customXml" ds:itemID="{719F5AA8-EA2A-4F60-A996-524CA5E8F7B1}">
  <ds:schemaRefs/>
</ds:datastoreItem>
</file>

<file path=customXml/itemProps11.xml><?xml version="1.0" encoding="utf-8"?>
<ds:datastoreItem xmlns:ds="http://schemas.openxmlformats.org/officeDocument/2006/customXml" ds:itemID="{EC6B5A91-B123-49D2-908F-1841D5EE5C2E}">
  <ds:schemaRefs/>
</ds:datastoreItem>
</file>

<file path=customXml/itemProps12.xml><?xml version="1.0" encoding="utf-8"?>
<ds:datastoreItem xmlns:ds="http://schemas.openxmlformats.org/officeDocument/2006/customXml" ds:itemID="{054DB1A1-9AA9-424D-84AC-B10665D6E163}">
  <ds:schemaRefs/>
</ds:datastoreItem>
</file>

<file path=customXml/itemProps13.xml><?xml version="1.0" encoding="utf-8"?>
<ds:datastoreItem xmlns:ds="http://schemas.openxmlformats.org/officeDocument/2006/customXml" ds:itemID="{8F82EABB-43B4-4053-BA71-75859C88A3B8}">
  <ds:schemaRefs/>
</ds:datastoreItem>
</file>

<file path=customXml/itemProps14.xml><?xml version="1.0" encoding="utf-8"?>
<ds:datastoreItem xmlns:ds="http://schemas.openxmlformats.org/officeDocument/2006/customXml" ds:itemID="{3132B239-8A2D-4C6F-945C-30937D6FF163}">
  <ds:schemaRefs/>
</ds:datastoreItem>
</file>

<file path=customXml/itemProps15.xml><?xml version="1.0" encoding="utf-8"?>
<ds:datastoreItem xmlns:ds="http://schemas.openxmlformats.org/officeDocument/2006/customXml" ds:itemID="{25A15B03-59F4-4F82-A5FC-02BDA03B5897}">
  <ds:schemaRefs/>
</ds:datastoreItem>
</file>

<file path=customXml/itemProps16.xml><?xml version="1.0" encoding="utf-8"?>
<ds:datastoreItem xmlns:ds="http://schemas.openxmlformats.org/officeDocument/2006/customXml" ds:itemID="{DDA2B01C-4A14-4B6E-83FF-CA8ED5FC9D1A}">
  <ds:schemaRefs/>
</ds:datastoreItem>
</file>

<file path=customXml/itemProps17.xml><?xml version="1.0" encoding="utf-8"?>
<ds:datastoreItem xmlns:ds="http://schemas.openxmlformats.org/officeDocument/2006/customXml" ds:itemID="{C6ADB0B0-CE1F-4FCA-AFCB-2F9AEFA4E1D9}">
  <ds:schemaRefs/>
</ds:datastoreItem>
</file>

<file path=customXml/itemProps18.xml><?xml version="1.0" encoding="utf-8"?>
<ds:datastoreItem xmlns:ds="http://schemas.openxmlformats.org/officeDocument/2006/customXml" ds:itemID="{6EC0021A-EB28-4E7C-8C67-835CC1B23B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ballari</dc:creator>
  <cp:lastModifiedBy>priyanka ballari</cp:lastModifiedBy>
  <dcterms:created xsi:type="dcterms:W3CDTF">2025-06-05T06:08:08Z</dcterms:created>
  <dcterms:modified xsi:type="dcterms:W3CDTF">2025-06-06T06:21:48Z</dcterms:modified>
</cp:coreProperties>
</file>